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workspaces\Arduino\FootKeyboard\sources\firmware\src\"/>
    </mc:Choice>
  </mc:AlternateContent>
  <xr:revisionPtr revIDLastSave="0" documentId="13_ncr:1_{97957DEF-48B7-4FBF-8A8D-B5EC44BEDFBA}" xr6:coauthVersionLast="47" xr6:coauthVersionMax="47" xr10:uidLastSave="{00000000-0000-0000-0000-000000000000}"/>
  <bookViews>
    <workbookView xWindow="-120" yWindow="-120" windowWidth="24240" windowHeight="13140" xr2:uid="{B28AE2B0-E4EC-47B3-9904-807DDC0E4AF1}"/>
  </bookViews>
  <sheets>
    <sheet name="Checksum2CODE" sheetId="1" r:id="rId1"/>
    <sheet name="Revert" sheetId="2" r:id="rId2"/>
  </sheets>
  <functionGroups builtInGroupCount="19"/>
  <definedNames>
    <definedName name="CheckSumF">Revert!$C$2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12" i="1" a="1"/>
  <c r="C6" i="1" a="1"/>
  <c r="C8" i="1" a="1"/>
  <c r="C16" i="1" a="1"/>
  <c r="C24" i="1" a="1"/>
  <c r="C32" i="1" a="1"/>
  <c r="C40" i="1" a="1"/>
  <c r="C48" i="1" a="1"/>
  <c r="C7" i="1" a="1"/>
  <c r="C15" i="1" a="1"/>
  <c r="C23" i="1" a="1"/>
  <c r="C31" i="1" a="1"/>
  <c r="C39" i="1" a="1"/>
  <c r="C47" i="1" a="1"/>
  <c r="C51" i="1" a="1"/>
  <c r="C28" i="1" a="1"/>
  <c r="C36" i="1" a="1"/>
  <c r="C11" i="1" a="1"/>
  <c r="C27" i="1" a="1"/>
  <c r="C43" i="1" a="1"/>
  <c r="C3" i="1" a="1"/>
  <c r="C22" i="1" a="1"/>
  <c r="C30" i="1" a="1"/>
  <c r="C46" i="1" a="1"/>
  <c r="C13" i="1" a="1"/>
  <c r="C29" i="1" a="1"/>
  <c r="C45" i="1" a="1"/>
  <c r="C10" i="1" a="1"/>
  <c r="C18" i="1" a="1"/>
  <c r="C26" i="1" a="1"/>
  <c r="C34" i="1" a="1"/>
  <c r="C42" i="1" a="1"/>
  <c r="C50" i="1" a="1"/>
  <c r="C9" i="1" a="1"/>
  <c r="C17" i="1" a="1"/>
  <c r="C25" i="1" a="1"/>
  <c r="C33" i="1" a="1"/>
  <c r="C41" i="1" a="1"/>
  <c r="C49" i="1" a="1"/>
  <c r="C53" i="1" a="1"/>
  <c r="C20" i="1" a="1"/>
  <c r="C44" i="1" a="1"/>
  <c r="C52" i="1" a="1"/>
  <c r="C19" i="1" a="1"/>
  <c r="C35" i="1" a="1"/>
  <c r="C4" i="1" a="1"/>
  <c r="C14" i="1" a="1"/>
  <c r="C38" i="1" a="1"/>
  <c r="C54" i="1" a="1"/>
  <c r="C21" i="1" a="1"/>
  <c r="C37" i="1" a="1"/>
  <c r="C5" i="1" a="1"/>
  <c r="C3" i="1" l="1"/>
  <c r="C53" i="1"/>
  <c r="E53" i="1" s="1"/>
  <c r="C51" i="1"/>
  <c r="E51" i="1" s="1"/>
  <c r="C5" i="1"/>
  <c r="C4" i="1"/>
  <c r="C49" i="1"/>
  <c r="E49" i="1" s="1"/>
  <c r="C47" i="1"/>
  <c r="E47" i="1" s="1"/>
  <c r="C45" i="1"/>
  <c r="E45" i="1" s="1"/>
  <c r="C43" i="1"/>
  <c r="E43" i="1" s="1"/>
  <c r="C41" i="1"/>
  <c r="E41" i="1" s="1"/>
  <c r="C39" i="1"/>
  <c r="E39" i="1" s="1"/>
  <c r="C37" i="1"/>
  <c r="E37" i="1" s="1"/>
  <c r="C35" i="1"/>
  <c r="E35" i="1" s="1"/>
  <c r="C33" i="1"/>
  <c r="E33" i="1" s="1"/>
  <c r="C31" i="1"/>
  <c r="E31" i="1" s="1"/>
  <c r="C29" i="1"/>
  <c r="E29" i="1" s="1"/>
  <c r="C27" i="1"/>
  <c r="E27" i="1" s="1"/>
  <c r="C25" i="1"/>
  <c r="E25" i="1" s="1"/>
  <c r="C23" i="1"/>
  <c r="E23" i="1" s="1"/>
  <c r="C21" i="1"/>
  <c r="C19" i="1"/>
  <c r="C17" i="1"/>
  <c r="C15" i="1"/>
  <c r="C13" i="1"/>
  <c r="C11" i="1"/>
  <c r="C9" i="1"/>
  <c r="C7" i="1"/>
  <c r="C54" i="1"/>
  <c r="E54" i="1" s="1"/>
  <c r="C52" i="1"/>
  <c r="E52" i="1" s="1"/>
  <c r="C50" i="1"/>
  <c r="E50" i="1" s="1"/>
  <c r="C48" i="1"/>
  <c r="E48" i="1" s="1"/>
  <c r="C46" i="1"/>
  <c r="E46" i="1" s="1"/>
  <c r="C44" i="1"/>
  <c r="E44" i="1" s="1"/>
  <c r="C42" i="1"/>
  <c r="E42" i="1" s="1"/>
  <c r="C40" i="1"/>
  <c r="E40" i="1" s="1"/>
  <c r="C38" i="1"/>
  <c r="E38" i="1" s="1"/>
  <c r="C36" i="1"/>
  <c r="E36" i="1" s="1"/>
  <c r="C34" i="1"/>
  <c r="E34" i="1" s="1"/>
  <c r="C32" i="1"/>
  <c r="E32" i="1" s="1"/>
  <c r="C30" i="1"/>
  <c r="E30" i="1" s="1"/>
  <c r="C28" i="1"/>
  <c r="E28" i="1" s="1"/>
  <c r="C26" i="1"/>
  <c r="E26" i="1" s="1"/>
  <c r="C24" i="1"/>
  <c r="E24" i="1" s="1"/>
  <c r="C22" i="1"/>
  <c r="E22" i="1" s="1"/>
  <c r="C20" i="1"/>
  <c r="C18" i="1"/>
  <c r="C16" i="1"/>
  <c r="C14" i="1"/>
  <c r="C12" i="1"/>
  <c r="C10" i="1"/>
  <c r="C8" i="1"/>
  <c r="C6" i="1"/>
  <c r="I18" i="1" l="1"/>
  <c r="E18" i="1"/>
  <c r="I6" i="1"/>
  <c r="E6" i="1"/>
  <c r="I14" i="1"/>
  <c r="E14" i="1"/>
  <c r="I13" i="1"/>
  <c r="E13" i="1"/>
  <c r="I21" i="1"/>
  <c r="E21" i="1"/>
  <c r="I5" i="1"/>
  <c r="E5" i="1"/>
  <c r="I10" i="1"/>
  <c r="E10" i="1"/>
  <c r="I12" i="1"/>
  <c r="E12" i="1"/>
  <c r="I20" i="1"/>
  <c r="E20" i="1"/>
  <c r="I8" i="1"/>
  <c r="E8" i="1"/>
  <c r="I16" i="1"/>
  <c r="E16" i="1"/>
  <c r="I7" i="1"/>
  <c r="E7" i="1"/>
  <c r="I15" i="1"/>
  <c r="E15" i="1"/>
  <c r="I9" i="1"/>
  <c r="E9" i="1"/>
  <c r="I17" i="1"/>
  <c r="E17" i="1"/>
  <c r="I11" i="1"/>
  <c r="E11" i="1"/>
  <c r="I19" i="1"/>
  <c r="E19" i="1"/>
  <c r="I4" i="1"/>
  <c r="E4" i="1"/>
  <c r="I3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<sst xmlns="http://schemas.openxmlformats.org/spreadsheetml/2006/main" count="113" uniqueCount="103">
  <si>
    <t>{BREAK}</t>
  </si>
  <si>
    <t>{CAPSLOCK}</t>
  </si>
  <si>
    <t>{DOWN}</t>
  </si>
  <si>
    <t>{END}</t>
  </si>
  <si>
    <t>{ESC}</t>
  </si>
  <si>
    <t>{HOME}</t>
  </si>
  <si>
    <t>{LEFT}</t>
  </si>
  <si>
    <t>{NUMLOCK}</t>
  </si>
  <si>
    <t>{PGDN}</t>
  </si>
  <si>
    <t>{PGUP}</t>
  </si>
  <si>
    <t>{RIGHT}</t>
  </si>
  <si>
    <t>{SCROLLLOCK}</t>
  </si>
  <si>
    <t>{TAB}</t>
  </si>
  <si>
    <t>{UP}</t>
  </si>
  <si>
    <t>{F1}</t>
  </si>
  <si>
    <t>{F2}</t>
  </si>
  <si>
    <t>{F3}</t>
  </si>
  <si>
    <t>{F4}</t>
  </si>
  <si>
    <t>{F5}</t>
  </si>
  <si>
    <t>{F6}</t>
  </si>
  <si>
    <t>{F7}</t>
  </si>
  <si>
    <t>{F8}</t>
  </si>
  <si>
    <t>{F9}</t>
  </si>
  <si>
    <t>{F10}</t>
  </si>
  <si>
    <t>{F11}</t>
  </si>
  <si>
    <t>{F12}</t>
  </si>
  <si>
    <t>{F13}</t>
  </si>
  <si>
    <t>{F14}</t>
  </si>
  <si>
    <t>{F15}</t>
  </si>
  <si>
    <t>{F16}</t>
  </si>
  <si>
    <t>{ENTER}</t>
  </si>
  <si>
    <t>{DELETE}</t>
  </si>
  <si>
    <t>{DEL}</t>
  </si>
  <si>
    <t>{BACKSPACE}</t>
  </si>
  <si>
    <t>{BS}</t>
  </si>
  <si>
    <t>{INSERT}</t>
  </si>
  <si>
    <t>{INS}</t>
  </si>
  <si>
    <t>{PRTSC}</t>
  </si>
  <si>
    <t>USER_FORMAT</t>
  </si>
  <si>
    <t>KEY_LEFT_CTRL</t>
  </si>
  <si>
    <t>KEY_LEFT_SHIFT</t>
  </si>
  <si>
    <t>KEY_LEFT_ALT</t>
  </si>
  <si>
    <t>KEY_RIGHT_CTRL</t>
  </si>
  <si>
    <t>KEY_RIGHT_SHIFT</t>
  </si>
  <si>
    <t>KEY_RIGHT_ALT</t>
  </si>
  <si>
    <t>KEY_UP_ARROW</t>
  </si>
  <si>
    <t>KEY_DOWN_ARROW</t>
  </si>
  <si>
    <t>KEY_LEFT_ARROW</t>
  </si>
  <si>
    <t>KEY_RIGHT_ARROW</t>
  </si>
  <si>
    <t>KEY_BACKSPACE</t>
  </si>
  <si>
    <t>KEY_TAB</t>
  </si>
  <si>
    <t>KEY_RETURN</t>
  </si>
  <si>
    <t>KEY_ESC</t>
  </si>
  <si>
    <t>KEY_INSERT</t>
  </si>
  <si>
    <t>KEY_PRTSC</t>
  </si>
  <si>
    <t>KEY_DELETE</t>
  </si>
  <si>
    <t>KEY_PAGE_UP</t>
  </si>
  <si>
    <t>KEY_PAGE_DOWN</t>
  </si>
  <si>
    <t>KEY_HOME</t>
  </si>
  <si>
    <t>KEY_END</t>
  </si>
  <si>
    <t>KEY_CAPS_LOCK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</si>
  <si>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</si>
  <si>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</si>
  <si>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</si>
  <si>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</si>
  <si>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</si>
  <si>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</si>
  <si>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</si>
  <si>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</si>
  <si>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</si>
  <si>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</si>
  <si>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</si>
  <si>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</si>
  <si>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KEY_F13</t>
  </si>
  <si>
    <t>KEY_F14</t>
  </si>
  <si>
    <t>KEY_F15</t>
  </si>
  <si>
    <t>KEY_F16</t>
  </si>
  <si>
    <t>{{}</t>
  </si>
  <si>
    <t>{}}</t>
  </si>
  <si>
    <t>'}'</t>
  </si>
  <si>
    <t>KeyCode for Developer</t>
  </si>
  <si>
    <t>Checksum For Dev</t>
  </si>
  <si>
    <t>'{'</t>
  </si>
  <si>
    <t>{CTRL}</t>
  </si>
  <si>
    <t>No</t>
  </si>
  <si>
    <t>{ALT}</t>
  </si>
  <si>
    <t>{SHIFT}</t>
  </si>
  <si>
    <t>{~CTRL}</t>
  </si>
  <si>
    <t>{~ALT}</t>
  </si>
  <si>
    <t>{~SHIFT}</t>
  </si>
  <si>
    <t>{RCTRL}</t>
  </si>
  <si>
    <t>{RALT}</t>
  </si>
  <si>
    <t>{RSHIFT}</t>
  </si>
  <si>
    <t>{~RCTRL}</t>
  </si>
  <si>
    <t>{~RALT}</t>
  </si>
  <si>
    <t>{~RSHIFT}</t>
  </si>
  <si>
    <r>
      <t>CheckSUM2CODE</t>
    </r>
    <r>
      <rPr>
        <sz val="11"/>
        <color rgb="FF3B3B3B"/>
        <rFont val="Consolas"/>
        <family val="3"/>
      </rPr>
      <t xml:space="preserve"> </t>
    </r>
    <r>
      <rPr>
        <sz val="11"/>
        <color rgb="FF001080"/>
        <rFont val="Consolas"/>
        <family val="3"/>
      </rPr>
      <t>checksum2codes</t>
    </r>
    <r>
      <rPr>
        <sz val="11"/>
        <color rgb="FF3B3B3B"/>
        <rFont val="Consolas"/>
        <family val="3"/>
      </rPr>
      <t xml:space="preserve">[] </t>
    </r>
    <r>
      <rPr>
        <sz val="11"/>
        <color rgb="FF000000"/>
        <rFont val="Consolas"/>
        <family val="3"/>
      </rPr>
      <t>=</t>
    </r>
    <r>
      <rPr>
        <sz val="11"/>
        <color rgb="FF3B3B3B"/>
        <rFont val="Consolas"/>
        <family val="3"/>
      </rPr>
      <t xml:space="preserve"> {   //Indexing USER_FORMAT strings by checking, in order to easy to looking for KeyCode</t>
    </r>
  </si>
  <si>
    <t>0xCF</t>
  </si>
  <si>
    <t>0xDB</t>
  </si>
  <si>
    <t>{637}{440}{~6023}{477}C{~1550}{637}{284}{284}{~6023}{477}V{~1550}</t>
  </si>
  <si>
    <t>CHECKSUM String</t>
  </si>
  <si>
    <t>USERFORMAT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</si>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</sst>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161616"/>
      <name val="Segoe UI"/>
      <family val="2"/>
    </font>
    <font>
      <sz val="11"/>
      <color rgb="FF3B3B3B"/>
      <name val="Consolas"/>
      <family val="3"/>
    </font>
    <font>
      <sz val="11"/>
      <color rgb="FF267F99"/>
      <name val="Consolas"/>
      <family val="3"/>
    </font>
    <font>
      <sz val="11"/>
      <color rgb="FF001080"/>
      <name val="Consolas"/>
      <family val="3"/>
    </font>
    <font>
      <sz val="11"/>
      <color rgb="FF00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left" vertical="top" wrapText="1"/>
    </xf>
    <xf numFmtId="0" fontId="3" fillId="0" borderId="0" xfId="0" applyFont="1" applyAlignment="1">
      <alignment vertical="center"/>
    </xf>
    <xf numFmtId="0" fontId="1" fillId="2" borderId="0" xfId="0" quotePrefix="1" applyFont="1" applyFill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0" fillId="3" borderId="0" xfId="0" applyFill="1"/>
    <xf numFmtId="0" fontId="1" fillId="0" borderId="0" xfId="0" applyFont="1" applyAlignment="1">
      <alignment horizontal="right" vertical="top" wrapText="1"/>
    </xf>
    <xf numFmtId="0" fontId="1" fillId="0" borderId="0" xfId="0" applyFont="1" applyAlignment="1">
      <alignment horizontal="left" vertical="top" wrapText="1"/>
    </xf>
    <xf numFmtId="0" fontId="0" fillId="4" borderId="0" xfId="0" applyFill="1" applyAlignment="1">
      <alignment horizontal="lef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61616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552449</xdr:colOff>
      <xdr:row>4</xdr:row>
      <xdr:rowOff>123826</xdr:rowOff>
    </xdr:from>
    <xdr:to>
      <xdr:col>14</xdr:col>
      <xdr:colOff>581024</xdr:colOff>
      <xdr:row>7</xdr:row>
      <xdr:rowOff>180976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F48F842C-1A41-8CAA-7DEC-974FE95A603D}"/>
            </a:ext>
          </a:extLst>
        </xdr:cNvPr>
        <xdr:cNvSpPr/>
      </xdr:nvSpPr>
      <xdr:spPr>
        <a:xfrm>
          <a:off x="9658349" y="923926"/>
          <a:ext cx="3686175" cy="685800"/>
        </a:xfrm>
        <a:prstGeom prst="wedgeRectCallout">
          <a:avLst>
            <a:gd name="adj1" fmla="val -66084"/>
            <a:gd name="adj2" fmla="val 39337"/>
          </a:avLst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vi-VN" sz="1100"/>
            <a:t>Số </a:t>
          </a:r>
          <a:r>
            <a:rPr lang="vi-VN" sz="1100" b="1"/>
            <a:t>0x6</a:t>
          </a:r>
          <a:r>
            <a:rPr lang="vi-VN" sz="1100"/>
            <a:t> được fix trong mã nguồn, file BleKeyboard.cpp, để đánh đấu phím có khả năng release đặc biệt </a:t>
          </a:r>
          <a:endParaRPr lang="en-US" sz="1100"/>
        </a:p>
        <a:p>
          <a:pPr algn="l"/>
          <a:r>
            <a:rPr lang="en-US" sz="1100"/>
            <a:t>Nếu</a:t>
          </a:r>
          <a:r>
            <a:rPr lang="en-US" sz="1100" baseline="0"/>
            <a:t> bổ sung thêm phím đặc biệt, phải hardcode chỗ này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7B522F-9420-4050-8417-B4E9CEAA76EE}" name="Table1" displayName="Table1" ref="A2:D54" totalsRowShown="0" dataDxfId="5">
  <tableColumns count="4">
    <tableColumn id="4" xr3:uid="{95399B2A-84BA-4029-A82E-26FC91D2C183}" name="No" dataDxfId="4"/>
    <tableColumn id="2" xr3:uid="{E78AA7A2-B3DF-4A35-A72F-ABDB230865AB}" name="USER_FORMAT" dataDxfId="3"/>
    <tableColumn id="3" xr3:uid="{459E7F36-509D-4B74-99EF-7268FC0E98C2}" name="Checksum For Dev" dataDxfId="2">
      <calculatedColumnFormula array="1">SumAsciiCodes(MID(Table1[[#This Row],[USER_FORMAT]],2,LEN(Table1[[#This Row],[USER_FORMAT]])-2))</calculatedColumnFormula>
    </tableColumn>
    <tableColumn id="1" xr3:uid="{66123C25-4413-41A2-A0BB-AB84E27EC3B3}" name="KeyCode for Developer" data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CCE1F-5FB6-42FA-806F-0D16F28F1D61}">
  <sheetPr codeName="Sheet1"/>
  <dimension ref="A2:I54"/>
  <sheetViews>
    <sheetView tabSelected="1" workbookViewId="0">
      <selection activeCell="D15" sqref="D15"/>
    </sheetView>
  </sheetViews>
  <sheetFormatPr defaultRowHeight="15" x14ac:dyDescent="0.25"/>
  <cols>
    <col min="1" max="1" width="5.85546875" bestFit="1" customWidth="1"/>
    <col min="2" max="2" width="29.28515625" customWidth="1"/>
    <col min="3" max="3" width="20.42578125" bestFit="1" customWidth="1"/>
    <col min="4" max="4" width="44.42578125" bestFit="1" customWidth="1"/>
  </cols>
  <sheetData>
    <row r="2" spans="1:9" x14ac:dyDescent="0.25">
      <c r="A2" t="s">
        <v>84</v>
      </c>
      <c r="B2" t="s">
        <v>38</v>
      </c>
      <c r="C2" t="s">
        <v>81</v>
      </c>
      <c r="D2" t="s">
        <v>80</v>
      </c>
      <c r="E2" s="2" t="s">
        <v>96</v>
      </c>
    </row>
    <row r="3" spans="1:9" ht="16.5" x14ac:dyDescent="0.25">
      <c r="A3" s="6">
        <v>0</v>
      </c>
      <c r="B3" s="4" t="s">
        <v>87</v>
      </c>
      <c r="C3" s="4" cm="1">
        <f t="array" ref="C3">SumAsciiCodes(MID(Table1[[#This Row],[USER_FORMAT]],2,LEN(Table1[[#This Row],[USER_FORMAT]])-2))</f>
        <v>631</v>
      </c>
      <c r="D3" s="4" t="s">
        <v>39</v>
      </c>
      <c r="E3" s="5" t="str">
        <f>"{"&amp;Table1[[#This Row],[Checksum For Dev]]&amp;", "&amp;Table1[[#This Row],[KeyCode for Developer]]&amp;"},"   &amp; "          // " &amp; Table1[[#This Row],[USER_FORMAT]]</f>
        <v>{631, KEY_LEFT_CTRL},          // {~CTRL}</v>
      </c>
      <c r="F3" s="5"/>
      <c r="G3" s="5"/>
      <c r="I3">
        <f t="shared" ref="I3:I21" si="0">(C3-C9)</f>
        <v>154</v>
      </c>
    </row>
    <row r="4" spans="1:9" ht="16.5" x14ac:dyDescent="0.25">
      <c r="A4" s="6">
        <v>1</v>
      </c>
      <c r="B4" s="4" t="s">
        <v>88</v>
      </c>
      <c r="C4" s="4" cm="1">
        <f t="array" ref="C4">SumAsciiCodes(MID(Table1[[#This Row],[USER_FORMAT]],2,LEN(Table1[[#This Row],[USER_FORMAT]])-2))</f>
        <v>498</v>
      </c>
      <c r="D4" s="4" t="s">
        <v>41</v>
      </c>
      <c r="E4" s="5" t="str">
        <f>"{"&amp;Table1[[#This Row],[Checksum For Dev]]&amp;", "&amp;Table1[[#This Row],[KeyCode for Developer]]&amp;"},"   &amp; "          // " &amp; Table1[[#This Row],[USER_FORMAT]]</f>
        <v>{498, KEY_LEFT_ALT},          // {~ALT}</v>
      </c>
      <c r="F4" s="5"/>
      <c r="G4" s="5"/>
      <c r="I4">
        <f t="shared" si="0"/>
        <v>154</v>
      </c>
    </row>
    <row r="5" spans="1:9" ht="16.5" x14ac:dyDescent="0.25">
      <c r="A5" s="6">
        <v>2</v>
      </c>
      <c r="B5" s="4" t="s">
        <v>89</v>
      </c>
      <c r="C5" s="4" cm="1">
        <f t="array" ref="C5">SumAsciiCodes(MID(Table1[[#This Row],[USER_FORMAT]],2,LEN(Table1[[#This Row],[USER_FORMAT]])-2))</f>
        <v>793</v>
      </c>
      <c r="D5" s="4" t="s">
        <v>40</v>
      </c>
      <c r="E5" s="5" t="str">
        <f>"{"&amp;Table1[[#This Row],[Checksum For Dev]]&amp;", "&amp;Table1[[#This Row],[KeyCode for Developer]]&amp;"},"   &amp; "          // " &amp; Table1[[#This Row],[USER_FORMAT]]</f>
        <v>{793, KEY_LEFT_SHIFT},          // {~SHIFT}</v>
      </c>
      <c r="F5" s="5"/>
      <c r="G5" s="5"/>
      <c r="I5">
        <f t="shared" si="0"/>
        <v>156</v>
      </c>
    </row>
    <row r="6" spans="1:9" ht="16.5" x14ac:dyDescent="0.25">
      <c r="A6" s="6">
        <v>3</v>
      </c>
      <c r="B6" s="4" t="s">
        <v>93</v>
      </c>
      <c r="C6" s="4" cm="1">
        <f t="array" ref="C6">SumAsciiCodes(MID(Table1[[#This Row],[USER_FORMAT]],2,LEN(Table1[[#This Row],[USER_FORMAT]])-2))</f>
        <v>784</v>
      </c>
      <c r="D6" s="4" t="s">
        <v>42</v>
      </c>
      <c r="E6" s="5" t="str">
        <f>"{"&amp;Table1[[#This Row],[Checksum For Dev]]&amp;", "&amp;Table1[[#This Row],[KeyCode for Developer]]&amp;"},"   &amp; "          // " &amp; Table1[[#This Row],[USER_FORMAT]]</f>
        <v>{784, KEY_RIGHT_CTRL},          // {~RCTRL}</v>
      </c>
      <c r="F6" s="5"/>
      <c r="G6" s="5"/>
      <c r="I6">
        <f t="shared" si="0"/>
        <v>156</v>
      </c>
    </row>
    <row r="7" spans="1:9" ht="16.5" x14ac:dyDescent="0.25">
      <c r="A7" s="6">
        <v>4</v>
      </c>
      <c r="B7" s="4" t="s">
        <v>94</v>
      </c>
      <c r="C7" s="4" cm="1">
        <f t="array" ref="C7">SumAsciiCodes(MID(Table1[[#This Row],[USER_FORMAT]],2,LEN(Table1[[#This Row],[USER_FORMAT]])-2))</f>
        <v>649</v>
      </c>
      <c r="D7" s="4" t="s">
        <v>44</v>
      </c>
      <c r="E7" s="5" t="str">
        <f>"{"&amp;Table1[[#This Row],[Checksum For Dev]]&amp;", "&amp;Table1[[#This Row],[KeyCode for Developer]]&amp;"},"   &amp; "          // " &amp; Table1[[#This Row],[USER_FORMAT]]</f>
        <v>{649, KEY_RIGHT_ALT},          // {~RALT}</v>
      </c>
      <c r="F7" s="5"/>
      <c r="G7" s="5"/>
      <c r="I7">
        <f t="shared" si="0"/>
        <v>157</v>
      </c>
    </row>
    <row r="8" spans="1:9" ht="16.5" x14ac:dyDescent="0.25">
      <c r="A8" s="6">
        <v>5</v>
      </c>
      <c r="B8" s="4" t="s">
        <v>95</v>
      </c>
      <c r="C8" s="4" cm="1">
        <f t="array" ref="C8">SumAsciiCodes(MID(Table1[[#This Row],[USER_FORMAT]],2,LEN(Table1[[#This Row],[USER_FORMAT]])-2))</f>
        <v>947</v>
      </c>
      <c r="D8" s="4" t="s">
        <v>43</v>
      </c>
      <c r="E8" s="5" t="str">
        <f>"{"&amp;Table1[[#This Row],[Checksum For Dev]]&amp;", "&amp;Table1[[#This Row],[KeyCode for Developer]]&amp;"},"   &amp; "          // " &amp; Table1[[#This Row],[USER_FORMAT]]</f>
        <v>{947, KEY_RIGHT_SHIFT},          // {~RSHIFT}</v>
      </c>
      <c r="F8" s="5"/>
      <c r="G8" s="5"/>
      <c r="I8">
        <f t="shared" si="0"/>
        <v>156</v>
      </c>
    </row>
    <row r="9" spans="1:9" ht="16.5" x14ac:dyDescent="0.25">
      <c r="A9" s="6">
        <v>6</v>
      </c>
      <c r="B9" s="1" t="s">
        <v>83</v>
      </c>
      <c r="C9" s="1" cm="1">
        <f t="array" ref="C9">SumAsciiCodes(MID(Table1[[#This Row],[USER_FORMAT]],2,LEN(Table1[[#This Row],[USER_FORMAT]])-2))</f>
        <v>477</v>
      </c>
      <c r="D9" s="1" t="s">
        <v>39</v>
      </c>
      <c r="E9" t="str">
        <f>"{"&amp;Table1[[#This Row],[Checksum For Dev]]&amp;", "&amp;Table1[[#This Row],[KeyCode for Developer]]&amp;"},"   &amp; "          // " &amp; Table1[[#This Row],[USER_FORMAT]]</f>
        <v>{477, KEY_LEFT_CTRL},          // {CTRL}</v>
      </c>
      <c r="I9">
        <f t="shared" si="0"/>
        <v>-625</v>
      </c>
    </row>
    <row r="10" spans="1:9" ht="16.5" x14ac:dyDescent="0.25">
      <c r="A10" s="6">
        <v>7</v>
      </c>
      <c r="B10" s="1" t="s">
        <v>85</v>
      </c>
      <c r="C10" s="1" cm="1">
        <f t="array" ref="C10">SumAsciiCodes(MID(Table1[[#This Row],[USER_FORMAT]],2,LEN(Table1[[#This Row],[USER_FORMAT]])-2))</f>
        <v>344</v>
      </c>
      <c r="D10" s="1" t="s">
        <v>41</v>
      </c>
      <c r="E10" t="str">
        <f>"{"&amp;Table1[[#This Row],[Checksum For Dev]]&amp;", "&amp;Table1[[#This Row],[KeyCode for Developer]]&amp;"},"   &amp; "          // " &amp; Table1[[#This Row],[USER_FORMAT]]</f>
        <v>{344, KEY_LEFT_ALT},          // {ALT}</v>
      </c>
      <c r="I10">
        <f t="shared" si="0"/>
        <v>-237</v>
      </c>
    </row>
    <row r="11" spans="1:9" ht="16.5" x14ac:dyDescent="0.25">
      <c r="A11" s="6">
        <v>8</v>
      </c>
      <c r="B11" s="1" t="s">
        <v>86</v>
      </c>
      <c r="C11" s="1" cm="1">
        <f t="array" ref="C11">SumAsciiCodes(MID(Table1[[#This Row],[USER_FORMAT]],2,LEN(Table1[[#This Row],[USER_FORMAT]])-2))</f>
        <v>637</v>
      </c>
      <c r="D11" s="1" t="s">
        <v>40</v>
      </c>
      <c r="E11" t="str">
        <f>"{"&amp;Table1[[#This Row],[Checksum For Dev]]&amp;", "&amp;Table1[[#This Row],[KeyCode for Developer]]&amp;"},"   &amp; "          // " &amp; Table1[[#This Row],[USER_FORMAT]]</f>
        <v>{637, KEY_LEFT_SHIFT},          // {SHIFT}</v>
      </c>
      <c r="I11">
        <f t="shared" si="0"/>
        <v>-394</v>
      </c>
    </row>
    <row r="12" spans="1:9" ht="16.5" x14ac:dyDescent="0.25">
      <c r="A12" s="6">
        <v>9</v>
      </c>
      <c r="B12" s="1" t="s">
        <v>90</v>
      </c>
      <c r="C12" s="1" cm="1">
        <f t="array" ref="C12">SumAsciiCodes(MID(Table1[[#This Row],[USER_FORMAT]],2,LEN(Table1[[#This Row],[USER_FORMAT]])-2))</f>
        <v>628</v>
      </c>
      <c r="D12" s="1" t="s">
        <v>42</v>
      </c>
      <c r="E12" t="str">
        <f>"{"&amp;Table1[[#This Row],[Checksum For Dev]]&amp;", "&amp;Table1[[#This Row],[KeyCode for Developer]]&amp;"},"   &amp; "          // " &amp; Table1[[#This Row],[USER_FORMAT]]</f>
        <v>{628, KEY_RIGHT_CTRL},          // {RCTRL}</v>
      </c>
      <c r="I12">
        <f t="shared" si="0"/>
        <v>-104</v>
      </c>
    </row>
    <row r="13" spans="1:9" ht="16.5" x14ac:dyDescent="0.25">
      <c r="A13" s="6">
        <v>10</v>
      </c>
      <c r="B13" s="1" t="s">
        <v>91</v>
      </c>
      <c r="C13" s="1" cm="1">
        <f t="array" ref="C13">SumAsciiCodes(MID(Table1[[#This Row],[USER_FORMAT]],2,LEN(Table1[[#This Row],[USER_FORMAT]])-2))</f>
        <v>492</v>
      </c>
      <c r="D13" s="1" t="s">
        <v>44</v>
      </c>
      <c r="E13" t="str">
        <f>"{"&amp;Table1[[#This Row],[Checksum For Dev]]&amp;", "&amp;Table1[[#This Row],[KeyCode for Developer]]&amp;"},"   &amp; "          // " &amp; Table1[[#This Row],[USER_FORMAT]]</f>
        <v>{492, KEY_RIGHT_ALT},          // {RALT}</v>
      </c>
      <c r="I13">
        <f t="shared" si="0"/>
        <v>2</v>
      </c>
    </row>
    <row r="14" spans="1:9" ht="16.5" x14ac:dyDescent="0.25">
      <c r="A14" s="6">
        <v>11</v>
      </c>
      <c r="B14" s="1" t="s">
        <v>92</v>
      </c>
      <c r="C14" s="1" cm="1">
        <f t="array" ref="C14">SumAsciiCodes(MID(Table1[[#This Row],[USER_FORMAT]],2,LEN(Table1[[#This Row],[USER_FORMAT]])-2))</f>
        <v>791</v>
      </c>
      <c r="D14" s="1" t="s">
        <v>43</v>
      </c>
      <c r="E14" t="str">
        <f>"{"&amp;Table1[[#This Row],[Checksum For Dev]]&amp;", "&amp;Table1[[#This Row],[KeyCode for Developer]]&amp;"},"   &amp; "          // " &amp; Table1[[#This Row],[USER_FORMAT]]</f>
        <v>{791, KEY_RIGHT_SHIFT},          // {RSHIFT}</v>
      </c>
      <c r="I14">
        <f t="shared" si="0"/>
        <v>492</v>
      </c>
    </row>
    <row r="15" spans="1:9" ht="16.5" x14ac:dyDescent="0.25">
      <c r="A15" s="6">
        <v>12</v>
      </c>
      <c r="B15" s="1" t="s">
        <v>33</v>
      </c>
      <c r="C15" s="1" cm="1">
        <f t="array" ref="C15">SumAsciiCodes(MID(Table1[[#This Row],[USER_FORMAT]],2,LEN(Table1[[#This Row],[USER_FORMAT]])-2))</f>
        <v>1102</v>
      </c>
      <c r="D15" s="1" t="s">
        <v>49</v>
      </c>
      <c r="E15" t="str">
        <f>"{"&amp;Table1[[#This Row],[Checksum For Dev]]&amp;", "&amp;Table1[[#This Row],[KeyCode for Developer]]&amp;"},"   &amp; "          // " &amp; Table1[[#This Row],[USER_FORMAT]]</f>
        <v>{1102, KEY_BACKSPACE},          // {BACKSPACE}</v>
      </c>
      <c r="I15">
        <f t="shared" si="0"/>
        <v>468</v>
      </c>
    </row>
    <row r="16" spans="1:9" ht="16.5" x14ac:dyDescent="0.25">
      <c r="A16" s="6">
        <v>13</v>
      </c>
      <c r="B16" s="1" t="s">
        <v>0</v>
      </c>
      <c r="C16" s="1" cm="1">
        <f t="array" ref="C16">SumAsciiCodes(MID(Table1[[#This Row],[USER_FORMAT]],2,LEN(Table1[[#This Row],[USER_FORMAT]])-2))</f>
        <v>581</v>
      </c>
      <c r="D16" s="1"/>
      <c r="E16" t="str">
        <f>"{"&amp;Table1[[#This Row],[Checksum For Dev]]&amp;", "&amp;Table1[[#This Row],[KeyCode for Developer]]&amp;"},"   &amp; "          // " &amp; Table1[[#This Row],[USER_FORMAT]]</f>
        <v>{581, },          // {BREAK}</v>
      </c>
      <c r="I16">
        <f t="shared" si="0"/>
        <v>280</v>
      </c>
    </row>
    <row r="17" spans="1:9" ht="16.5" x14ac:dyDescent="0.25">
      <c r="A17" s="6">
        <v>14</v>
      </c>
      <c r="B17" s="1" t="s">
        <v>1</v>
      </c>
      <c r="C17" s="1" cm="1">
        <f t="array" ref="C17">SumAsciiCodes(MID(Table1[[#This Row],[USER_FORMAT]],2,LEN(Table1[[#This Row],[USER_FORMAT]])-2))</f>
        <v>1031</v>
      </c>
      <c r="D17" s="1" t="s">
        <v>60</v>
      </c>
      <c r="E17" t="str">
        <f>"{"&amp;Table1[[#This Row],[Checksum For Dev]]&amp;", "&amp;Table1[[#This Row],[KeyCode for Developer]]&amp;"},"   &amp; "          // " &amp; Table1[[#This Row],[USER_FORMAT]]</f>
        <v>{1031, KEY_CAPS_LOCK},          // {CAPSLOCK}</v>
      </c>
      <c r="I17">
        <f t="shared" si="0"/>
        <v>591</v>
      </c>
    </row>
    <row r="18" spans="1:9" ht="16.5" x14ac:dyDescent="0.25">
      <c r="A18" s="6">
        <v>15</v>
      </c>
      <c r="B18" s="1" t="s">
        <v>31</v>
      </c>
      <c r="C18" s="1" cm="1">
        <f t="array" ref="C18">SumAsciiCodes(MID(Table1[[#This Row],[USER_FORMAT]],2,LEN(Table1[[#This Row],[USER_FORMAT]])-2))</f>
        <v>732</v>
      </c>
      <c r="D18" s="1" t="s">
        <v>55</v>
      </c>
      <c r="E18" t="str">
        <f>"{"&amp;Table1[[#This Row],[Checksum For Dev]]&amp;", "&amp;Table1[[#This Row],[KeyCode for Developer]]&amp;"},"   &amp; "          // " &amp; Table1[[#This Row],[USER_FORMAT]]</f>
        <v>{732, KEY_DELETE},          // {DELETE}</v>
      </c>
      <c r="I18">
        <f t="shared" si="0"/>
        <v>-89</v>
      </c>
    </row>
    <row r="19" spans="1:9" ht="16.5" x14ac:dyDescent="0.25">
      <c r="A19" s="6">
        <v>16</v>
      </c>
      <c r="B19" s="1" t="s">
        <v>2</v>
      </c>
      <c r="C19" s="1" cm="1">
        <f t="array" ref="C19">SumAsciiCodes(MID(Table1[[#This Row],[USER_FORMAT]],2,LEN(Table1[[#This Row],[USER_FORMAT]])-2))</f>
        <v>490</v>
      </c>
      <c r="D19" s="1" t="s">
        <v>46</v>
      </c>
      <c r="E19" t="str">
        <f>"{"&amp;Table1[[#This Row],[Checksum For Dev]]&amp;", "&amp;Table1[[#This Row],[KeyCode for Developer]]&amp;"},"   &amp; "          // " &amp; Table1[[#This Row],[USER_FORMAT]]</f>
        <v>{490, KEY_DOWN_ARROW},          // {DOWN}</v>
      </c>
      <c r="I19">
        <f t="shared" si="0"/>
        <v>5</v>
      </c>
    </row>
    <row r="20" spans="1:9" ht="16.5" x14ac:dyDescent="0.25">
      <c r="A20" s="6">
        <v>17</v>
      </c>
      <c r="B20" s="1" t="s">
        <v>3</v>
      </c>
      <c r="C20" s="1" cm="1">
        <f t="array" ref="C20">SumAsciiCodes(MID(Table1[[#This Row],[USER_FORMAT]],2,LEN(Table1[[#This Row],[USER_FORMAT]])-2))</f>
        <v>299</v>
      </c>
      <c r="D20" s="1" t="s">
        <v>59</v>
      </c>
      <c r="E20" t="str">
        <f>"{"&amp;Table1[[#This Row],[Checksum For Dev]]&amp;", "&amp;Table1[[#This Row],[KeyCode for Developer]]&amp;"},"   &amp; "          // " &amp; Table1[[#This Row],[USER_FORMAT]]</f>
        <v>{299, KEY_END},          // {END}</v>
      </c>
      <c r="I20">
        <f t="shared" si="0"/>
        <v>-584</v>
      </c>
    </row>
    <row r="21" spans="1:9" ht="16.5" x14ac:dyDescent="0.25">
      <c r="A21" s="6">
        <v>18</v>
      </c>
      <c r="B21" s="1" t="s">
        <v>30</v>
      </c>
      <c r="C21" s="1" cm="1">
        <f t="array" ref="C21">SumAsciiCodes(MID(Table1[[#This Row],[USER_FORMAT]],2,LEN(Table1[[#This Row],[USER_FORMAT]])-2))</f>
        <v>634</v>
      </c>
      <c r="D21" s="1" t="s">
        <v>51</v>
      </c>
      <c r="E21" t="str">
        <f>"{"&amp;Table1[[#This Row],[Checksum For Dev]]&amp;", "&amp;Table1[[#This Row],[KeyCode for Developer]]&amp;"},"   &amp; "          // " &amp; Table1[[#This Row],[USER_FORMAT]]</f>
        <v>{634, KEY_RETURN},          // {ENTER}</v>
      </c>
      <c r="I21">
        <f t="shared" si="0"/>
        <v>175</v>
      </c>
    </row>
    <row r="22" spans="1:9" ht="16.5" x14ac:dyDescent="0.25">
      <c r="A22" s="6">
        <v>19</v>
      </c>
      <c r="B22" s="1" t="s">
        <v>4</v>
      </c>
      <c r="C22" s="1" cm="1">
        <f t="array" ref="C22">SumAsciiCodes(MID(Table1[[#This Row],[USER_FORMAT]],2,LEN(Table1[[#This Row],[USER_FORMAT]])-2))</f>
        <v>301</v>
      </c>
      <c r="D22" s="1" t="s">
        <v>52</v>
      </c>
      <c r="E22" t="str">
        <f>"{"&amp;Table1[[#This Row],[Checksum For Dev]]&amp;", "&amp;Table1[[#This Row],[KeyCode for Developer]]&amp;"},"   &amp; "          // " &amp; Table1[[#This Row],[USER_FORMAT]]</f>
        <v>{301, KEY_ESC},          // {ESC}</v>
      </c>
    </row>
    <row r="23" spans="1:9" ht="16.5" x14ac:dyDescent="0.25">
      <c r="A23" s="6">
        <v>20</v>
      </c>
      <c r="B23" s="1" t="s">
        <v>5</v>
      </c>
      <c r="C23" s="1" cm="1">
        <f t="array" ref="C23">SumAsciiCodes(MID(Table1[[#This Row],[USER_FORMAT]],2,LEN(Table1[[#This Row],[USER_FORMAT]])-2))</f>
        <v>440</v>
      </c>
      <c r="D23" s="1" t="s">
        <v>58</v>
      </c>
      <c r="E23" t="str">
        <f>"{"&amp;Table1[[#This Row],[Checksum For Dev]]&amp;", "&amp;Table1[[#This Row],[KeyCode for Developer]]&amp;"},"   &amp; "          // " &amp; Table1[[#This Row],[USER_FORMAT]]</f>
        <v>{440, KEY_HOME},          // {HOME}</v>
      </c>
    </row>
    <row r="24" spans="1:9" ht="16.5" x14ac:dyDescent="0.25">
      <c r="A24" s="6">
        <v>21</v>
      </c>
      <c r="B24" s="1" t="s">
        <v>35</v>
      </c>
      <c r="C24" s="1" cm="1">
        <f t="array" ref="C24">SumAsciiCodes(MID(Table1[[#This Row],[USER_FORMAT]],2,LEN(Table1[[#This Row],[USER_FORMAT]])-2))</f>
        <v>821</v>
      </c>
      <c r="D24" s="1" t="s">
        <v>53</v>
      </c>
      <c r="E24" t="str">
        <f>"{"&amp;Table1[[#This Row],[Checksum For Dev]]&amp;", "&amp;Table1[[#This Row],[KeyCode for Developer]]&amp;"},"   &amp; "          // " &amp; Table1[[#This Row],[USER_FORMAT]]</f>
        <v>{821, KEY_INSERT},          // {INSERT}</v>
      </c>
    </row>
    <row r="25" spans="1:9" ht="16.5" x14ac:dyDescent="0.25">
      <c r="A25" s="6">
        <v>22</v>
      </c>
      <c r="B25" s="1" t="s">
        <v>6</v>
      </c>
      <c r="C25" s="1" cm="1">
        <f t="array" ref="C25">SumAsciiCodes(MID(Table1[[#This Row],[USER_FORMAT]],2,LEN(Table1[[#This Row],[USER_FORMAT]])-2))</f>
        <v>485</v>
      </c>
      <c r="D25" s="1" t="s">
        <v>47</v>
      </c>
      <c r="E25" t="str">
        <f>"{"&amp;Table1[[#This Row],[Checksum For Dev]]&amp;", "&amp;Table1[[#This Row],[KeyCode for Developer]]&amp;"},"   &amp; "          // " &amp; Table1[[#This Row],[USER_FORMAT]]</f>
        <v>{485, KEY_LEFT_ARROW},          // {LEFT}</v>
      </c>
    </row>
    <row r="26" spans="1:9" ht="16.5" x14ac:dyDescent="0.25">
      <c r="A26" s="6">
        <v>23</v>
      </c>
      <c r="B26" s="1" t="s">
        <v>7</v>
      </c>
      <c r="C26" s="1" cm="1">
        <f t="array" ref="C26">SumAsciiCodes(MID(Table1[[#This Row],[USER_FORMAT]],2,LEN(Table1[[#This Row],[USER_FORMAT]])-2))</f>
        <v>883</v>
      </c>
      <c r="D26" s="1" t="s">
        <v>98</v>
      </c>
      <c r="E26" t="str">
        <f>"{"&amp;Table1[[#This Row],[Checksum For Dev]]&amp;", "&amp;Table1[[#This Row],[KeyCode for Developer]]&amp;"},"   &amp; "          // " &amp; Table1[[#This Row],[USER_FORMAT]]</f>
        <v>{883, 0xDB},          // {NUMLOCK}</v>
      </c>
    </row>
    <row r="27" spans="1:9" ht="16.5" x14ac:dyDescent="0.25">
      <c r="A27" s="6">
        <v>24</v>
      </c>
      <c r="B27" s="7" t="s">
        <v>8</v>
      </c>
      <c r="C27" s="1" cm="1">
        <f t="array" ref="C27">SumAsciiCodes(MID(Table1[[#This Row],[USER_FORMAT]],2,LEN(Table1[[#This Row],[USER_FORMAT]])-2))</f>
        <v>459</v>
      </c>
      <c r="D27" s="1" t="s">
        <v>57</v>
      </c>
      <c r="E27" t="str">
        <f>"{"&amp;Table1[[#This Row],[Checksum For Dev]]&amp;", "&amp;Table1[[#This Row],[KeyCode for Developer]]&amp;"},"   &amp; "          // " &amp; Table1[[#This Row],[USER_FORMAT]]</f>
        <v>{459, KEY_PAGE_DOWN},          // {PGDN}</v>
      </c>
    </row>
    <row r="28" spans="1:9" ht="16.5" x14ac:dyDescent="0.25">
      <c r="A28" s="6">
        <v>25</v>
      </c>
      <c r="B28" s="1" t="s">
        <v>9</v>
      </c>
      <c r="C28" s="1" cm="1">
        <f t="array" ref="C28">SumAsciiCodes(MID(Table1[[#This Row],[USER_FORMAT]],2,LEN(Table1[[#This Row],[USER_FORMAT]])-2))</f>
        <v>493</v>
      </c>
      <c r="D28" s="1" t="s">
        <v>56</v>
      </c>
      <c r="E28" t="str">
        <f>"{"&amp;Table1[[#This Row],[Checksum For Dev]]&amp;", "&amp;Table1[[#This Row],[KeyCode for Developer]]&amp;"},"   &amp; "          // " &amp; Table1[[#This Row],[USER_FORMAT]]</f>
        <v>{493, KEY_PAGE_UP},          // {PGUP}</v>
      </c>
    </row>
    <row r="29" spans="1:9" ht="16.5" x14ac:dyDescent="0.25">
      <c r="A29" s="6">
        <v>26</v>
      </c>
      <c r="B29" s="1" t="s">
        <v>37</v>
      </c>
      <c r="C29" s="1" cm="1">
        <f t="array" ref="C29">SumAsciiCodes(MID(Table1[[#This Row],[USER_FORMAT]],2,LEN(Table1[[#This Row],[USER_FORMAT]])-2))</f>
        <v>589</v>
      </c>
      <c r="D29" s="1" t="s">
        <v>54</v>
      </c>
      <c r="E29" t="str">
        <f>"{"&amp;Table1[[#This Row],[Checksum For Dev]]&amp;", "&amp;Table1[[#This Row],[KeyCode for Developer]]&amp;"},"   &amp; "          // " &amp; Table1[[#This Row],[USER_FORMAT]]</f>
        <v>{589, KEY_PRTSC},          // {PRTSC}</v>
      </c>
    </row>
    <row r="30" spans="1:9" ht="16.5" x14ac:dyDescent="0.25">
      <c r="A30" s="6">
        <v>27</v>
      </c>
      <c r="B30" s="1" t="s">
        <v>10</v>
      </c>
      <c r="C30" s="1" cm="1">
        <f t="array" ref="C30">SumAsciiCodes(MID(Table1[[#This Row],[USER_FORMAT]],2,LEN(Table1[[#This Row],[USER_FORMAT]])-2))</f>
        <v>640</v>
      </c>
      <c r="D30" s="1" t="s">
        <v>48</v>
      </c>
      <c r="E30" t="str">
        <f>"{"&amp;Table1[[#This Row],[Checksum For Dev]]&amp;", "&amp;Table1[[#This Row],[KeyCode for Developer]]&amp;"},"   &amp; "          // " &amp; Table1[[#This Row],[USER_FORMAT]]</f>
        <v>{640, KEY_RIGHT_ARROW},          // {RIGHT}</v>
      </c>
    </row>
    <row r="31" spans="1:9" ht="16.5" x14ac:dyDescent="0.25">
      <c r="A31" s="6">
        <v>28</v>
      </c>
      <c r="B31" s="1" t="s">
        <v>11</v>
      </c>
      <c r="C31" s="1" cm="1">
        <f t="array" ref="C31">SumAsciiCodes(MID(Table1[[#This Row],[USER_FORMAT]],2,LEN(Table1[[#This Row],[USER_FORMAT]])-2))</f>
        <v>1323</v>
      </c>
      <c r="D31" s="1" t="s">
        <v>97</v>
      </c>
      <c r="E31" t="str">
        <f>"{"&amp;Table1[[#This Row],[Checksum For Dev]]&amp;", "&amp;Table1[[#This Row],[KeyCode for Developer]]&amp;"},"   &amp; "          // " &amp; Table1[[#This Row],[USER_FORMAT]]</f>
        <v>{1323, 0xCF},          // {SCROLLLOCK}</v>
      </c>
    </row>
    <row r="32" spans="1:9" ht="16.5" x14ac:dyDescent="0.25">
      <c r="A32" s="6">
        <v>29</v>
      </c>
      <c r="B32" s="1" t="s">
        <v>12</v>
      </c>
      <c r="C32" s="1" cm="1">
        <f t="array" ref="C32">SumAsciiCodes(MID(Table1[[#This Row],[USER_FORMAT]],2,LEN(Table1[[#This Row],[USER_FORMAT]])-2))</f>
        <v>284</v>
      </c>
      <c r="D32" s="1" t="s">
        <v>50</v>
      </c>
      <c r="E32" t="str">
        <f>"{"&amp;Table1[[#This Row],[Checksum For Dev]]&amp;", "&amp;Table1[[#This Row],[KeyCode for Developer]]&amp;"},"   &amp; "          // " &amp; Table1[[#This Row],[USER_FORMAT]]</f>
        <v>{284, KEY_TAB},          // {TAB}</v>
      </c>
    </row>
    <row r="33" spans="1:5" ht="16.5" x14ac:dyDescent="0.25">
      <c r="A33" s="6">
        <v>30</v>
      </c>
      <c r="B33" s="1" t="s">
        <v>13</v>
      </c>
      <c r="C33" s="1" cm="1">
        <f t="array" ref="C33">SumAsciiCodes(MID(Table1[[#This Row],[USER_FORMAT]],2,LEN(Table1[[#This Row],[USER_FORMAT]])-2))</f>
        <v>202</v>
      </c>
      <c r="D33" s="1" t="s">
        <v>45</v>
      </c>
      <c r="E33" t="str">
        <f>"{"&amp;Table1[[#This Row],[Checksum For Dev]]&amp;", "&amp;Table1[[#This Row],[KeyCode for Developer]]&amp;"},"   &amp; "          // " &amp; Table1[[#This Row],[USER_FORMAT]]</f>
        <v>{202, KEY_UP_ARROW},          // {UP}</v>
      </c>
    </row>
    <row r="34" spans="1:5" ht="16.5" x14ac:dyDescent="0.25">
      <c r="A34" s="6">
        <v>31</v>
      </c>
      <c r="B34" s="1" t="s">
        <v>14</v>
      </c>
      <c r="C34" s="1" cm="1">
        <f t="array" ref="C34">SumAsciiCodes(MID(Table1[[#This Row],[USER_FORMAT]],2,LEN(Table1[[#This Row],[USER_FORMAT]])-2))</f>
        <v>133</v>
      </c>
      <c r="D34" s="1" t="s">
        <v>61</v>
      </c>
      <c r="E34" t="str">
        <f>"{"&amp;Table1[[#This Row],[Checksum For Dev]]&amp;", "&amp;Table1[[#This Row],[KeyCode for Developer]]&amp;"},"   &amp; "          // " &amp; Table1[[#This Row],[USER_FORMAT]]</f>
        <v>{133, KEY_F1},          // {F1}</v>
      </c>
    </row>
    <row r="35" spans="1:5" ht="16.5" x14ac:dyDescent="0.25">
      <c r="A35" s="6">
        <v>32</v>
      </c>
      <c r="B35" s="1" t="s">
        <v>15</v>
      </c>
      <c r="C35" s="1" cm="1">
        <f t="array" ref="C35">SumAsciiCodes(MID(Table1[[#This Row],[USER_FORMAT]],2,LEN(Table1[[#This Row],[USER_FORMAT]])-2))</f>
        <v>135</v>
      </c>
      <c r="D35" s="1" t="s">
        <v>62</v>
      </c>
      <c r="E35" t="str">
        <f>"{"&amp;Table1[[#This Row],[Checksum For Dev]]&amp;", "&amp;Table1[[#This Row],[KeyCode for Developer]]&amp;"},"   &amp; "          // " &amp; Table1[[#This Row],[USER_FORMAT]]</f>
        <v>{135, KEY_F2},          // {F2}</v>
      </c>
    </row>
    <row r="36" spans="1:5" ht="16.5" x14ac:dyDescent="0.25">
      <c r="A36" s="6">
        <v>33</v>
      </c>
      <c r="B36" s="1" t="s">
        <v>16</v>
      </c>
      <c r="C36" s="1" cm="1">
        <f t="array" ref="C36">SumAsciiCodes(MID(Table1[[#This Row],[USER_FORMAT]],2,LEN(Table1[[#This Row],[USER_FORMAT]])-2))</f>
        <v>137</v>
      </c>
      <c r="D36" s="1" t="s">
        <v>63</v>
      </c>
      <c r="E36" t="str">
        <f>"{"&amp;Table1[[#This Row],[Checksum For Dev]]&amp;", "&amp;Table1[[#This Row],[KeyCode for Developer]]&amp;"},"   &amp; "          // " &amp; Table1[[#This Row],[USER_FORMAT]]</f>
        <v>{137, KEY_F3},          // {F3}</v>
      </c>
    </row>
    <row r="37" spans="1:5" ht="16.5" x14ac:dyDescent="0.25">
      <c r="A37" s="6">
        <v>34</v>
      </c>
      <c r="B37" s="1" t="s">
        <v>17</v>
      </c>
      <c r="C37" s="1" cm="1">
        <f t="array" ref="C37">SumAsciiCodes(MID(Table1[[#This Row],[USER_FORMAT]],2,LEN(Table1[[#This Row],[USER_FORMAT]])-2))</f>
        <v>139</v>
      </c>
      <c r="D37" s="1" t="s">
        <v>64</v>
      </c>
      <c r="E37" t="str">
        <f>"{"&amp;Table1[[#This Row],[Checksum For Dev]]&amp;", "&amp;Table1[[#This Row],[KeyCode for Developer]]&amp;"},"   &amp; "          // " &amp; Table1[[#This Row],[USER_FORMAT]]</f>
        <v>{139, KEY_F4},          // {F4}</v>
      </c>
    </row>
    <row r="38" spans="1:5" ht="16.5" x14ac:dyDescent="0.25">
      <c r="A38" s="6">
        <v>35</v>
      </c>
      <c r="B38" s="1" t="s">
        <v>18</v>
      </c>
      <c r="C38" s="1" cm="1">
        <f t="array" ref="C38">SumAsciiCodes(MID(Table1[[#This Row],[USER_FORMAT]],2,LEN(Table1[[#This Row],[USER_FORMAT]])-2))</f>
        <v>141</v>
      </c>
      <c r="D38" s="1" t="s">
        <v>65</v>
      </c>
      <c r="E38" t="str">
        <f>"{"&amp;Table1[[#This Row],[Checksum For Dev]]&amp;", "&amp;Table1[[#This Row],[KeyCode for Developer]]&amp;"},"   &amp; "          // " &amp; Table1[[#This Row],[USER_FORMAT]]</f>
        <v>{141, KEY_F5},          // {F5}</v>
      </c>
    </row>
    <row r="39" spans="1:5" ht="16.5" x14ac:dyDescent="0.25">
      <c r="A39" s="6">
        <v>36</v>
      </c>
      <c r="B39" s="1" t="s">
        <v>19</v>
      </c>
      <c r="C39" s="1" cm="1">
        <f t="array" ref="C39">SumAsciiCodes(MID(Table1[[#This Row],[USER_FORMAT]],2,LEN(Table1[[#This Row],[USER_FORMAT]])-2))</f>
        <v>143</v>
      </c>
      <c r="D39" s="1" t="s">
        <v>66</v>
      </c>
      <c r="E39" t="str">
        <f>"{"&amp;Table1[[#This Row],[Checksum For Dev]]&amp;", "&amp;Table1[[#This Row],[KeyCode for Developer]]&amp;"},"   &amp; "          // " &amp; Table1[[#This Row],[USER_FORMAT]]</f>
        <v>{143, KEY_F6},          // {F6}</v>
      </c>
    </row>
    <row r="40" spans="1:5" ht="16.5" x14ac:dyDescent="0.25">
      <c r="A40" s="6">
        <v>37</v>
      </c>
      <c r="B40" s="1" t="s">
        <v>20</v>
      </c>
      <c r="C40" s="1" cm="1">
        <f t="array" ref="C40">SumAsciiCodes(MID(Table1[[#This Row],[USER_FORMAT]],2,LEN(Table1[[#This Row],[USER_FORMAT]])-2))</f>
        <v>145</v>
      </c>
      <c r="D40" s="1" t="s">
        <v>67</v>
      </c>
      <c r="E40" t="str">
        <f>"{"&amp;Table1[[#This Row],[Checksum For Dev]]&amp;", "&amp;Table1[[#This Row],[KeyCode for Developer]]&amp;"},"   &amp; "          // " &amp; Table1[[#This Row],[USER_FORMAT]]</f>
        <v>{145, KEY_F7},          // {F7}</v>
      </c>
    </row>
    <row r="41" spans="1:5" ht="16.5" x14ac:dyDescent="0.25">
      <c r="A41" s="6">
        <v>38</v>
      </c>
      <c r="B41" s="1" t="s">
        <v>21</v>
      </c>
      <c r="C41" s="1" cm="1">
        <f t="array" ref="C41">SumAsciiCodes(MID(Table1[[#This Row],[USER_FORMAT]],2,LEN(Table1[[#This Row],[USER_FORMAT]])-2))</f>
        <v>147</v>
      </c>
      <c r="D41" s="1" t="s">
        <v>68</v>
      </c>
      <c r="E41" t="str">
        <f>"{"&amp;Table1[[#This Row],[Checksum For Dev]]&amp;", "&amp;Table1[[#This Row],[KeyCode for Developer]]&amp;"},"   &amp; "          // " &amp; Table1[[#This Row],[USER_FORMAT]]</f>
        <v>{147, KEY_F8},          // {F8}</v>
      </c>
    </row>
    <row r="42" spans="1:5" ht="16.5" x14ac:dyDescent="0.25">
      <c r="A42" s="6">
        <v>39</v>
      </c>
      <c r="B42" s="1" t="s">
        <v>22</v>
      </c>
      <c r="C42" s="1" cm="1">
        <f t="array" ref="C42">SumAsciiCodes(MID(Table1[[#This Row],[USER_FORMAT]],2,LEN(Table1[[#This Row],[USER_FORMAT]])-2))</f>
        <v>149</v>
      </c>
      <c r="D42" s="1" t="s">
        <v>69</v>
      </c>
      <c r="E42" t="str">
        <f>"{"&amp;Table1[[#This Row],[Checksum For Dev]]&amp;", "&amp;Table1[[#This Row],[KeyCode for Developer]]&amp;"},"   &amp; "          // " &amp; Table1[[#This Row],[USER_FORMAT]]</f>
        <v>{149, KEY_F9},          // {F9}</v>
      </c>
    </row>
    <row r="43" spans="1:5" ht="16.5" x14ac:dyDescent="0.25">
      <c r="A43" s="6">
        <v>40</v>
      </c>
      <c r="B43" s="1" t="s">
        <v>23</v>
      </c>
      <c r="C43" s="1" cm="1">
        <f t="array" ref="C43">SumAsciiCodes(MID(Table1[[#This Row],[USER_FORMAT]],2,LEN(Table1[[#This Row],[USER_FORMAT]])-2))</f>
        <v>210</v>
      </c>
      <c r="D43" s="1" t="s">
        <v>70</v>
      </c>
      <c r="E43" t="str">
        <f>"{"&amp;Table1[[#This Row],[Checksum For Dev]]&amp;", "&amp;Table1[[#This Row],[KeyCode for Developer]]&amp;"},"   &amp; "          // " &amp; Table1[[#This Row],[USER_FORMAT]]</f>
        <v>{210, KEY_F10},          // {F10}</v>
      </c>
    </row>
    <row r="44" spans="1:5" ht="16.5" x14ac:dyDescent="0.25">
      <c r="A44" s="6">
        <v>41</v>
      </c>
      <c r="B44" s="1" t="s">
        <v>24</v>
      </c>
      <c r="C44" s="1" cm="1">
        <f t="array" ref="C44">SumAsciiCodes(MID(Table1[[#This Row],[USER_FORMAT]],2,LEN(Table1[[#This Row],[USER_FORMAT]])-2))</f>
        <v>213</v>
      </c>
      <c r="D44" s="1" t="s">
        <v>71</v>
      </c>
      <c r="E44" t="str">
        <f>"{"&amp;Table1[[#This Row],[Checksum For Dev]]&amp;", "&amp;Table1[[#This Row],[KeyCode for Developer]]&amp;"},"   &amp; "          // " &amp; Table1[[#This Row],[USER_FORMAT]]</f>
        <v>{213, KEY_F11},          // {F11}</v>
      </c>
    </row>
    <row r="45" spans="1:5" ht="16.5" x14ac:dyDescent="0.25">
      <c r="A45" s="6">
        <v>42</v>
      </c>
      <c r="B45" s="1" t="s">
        <v>25</v>
      </c>
      <c r="C45" s="1" cm="1">
        <f t="array" ref="C45">SumAsciiCodes(MID(Table1[[#This Row],[USER_FORMAT]],2,LEN(Table1[[#This Row],[USER_FORMAT]])-2))</f>
        <v>216</v>
      </c>
      <c r="D45" s="1" t="s">
        <v>72</v>
      </c>
      <c r="E45" t="str">
        <f>"{"&amp;Table1[[#This Row],[Checksum For Dev]]&amp;", "&amp;Table1[[#This Row],[KeyCode for Developer]]&amp;"},"   &amp; "          // " &amp; Table1[[#This Row],[USER_FORMAT]]</f>
        <v>{216, KEY_F12},          // {F12}</v>
      </c>
    </row>
    <row r="46" spans="1:5" ht="16.5" x14ac:dyDescent="0.25">
      <c r="A46" s="6">
        <v>43</v>
      </c>
      <c r="B46" s="1" t="s">
        <v>26</v>
      </c>
      <c r="C46" s="1" cm="1">
        <f t="array" ref="C46">SumAsciiCodes(MID(Table1[[#This Row],[USER_FORMAT]],2,LEN(Table1[[#This Row],[USER_FORMAT]])-2))</f>
        <v>219</v>
      </c>
      <c r="D46" s="1" t="s">
        <v>73</v>
      </c>
      <c r="E46" t="str">
        <f>"{"&amp;Table1[[#This Row],[Checksum For Dev]]&amp;", "&amp;Table1[[#This Row],[KeyCode for Developer]]&amp;"},"   &amp; "          // " &amp; Table1[[#This Row],[USER_FORMAT]]</f>
        <v>{219, KEY_F13},          // {F13}</v>
      </c>
    </row>
    <row r="47" spans="1:5" ht="16.5" x14ac:dyDescent="0.25">
      <c r="A47" s="6">
        <v>44</v>
      </c>
      <c r="B47" s="1" t="s">
        <v>27</v>
      </c>
      <c r="C47" s="1" cm="1">
        <f t="array" ref="C47">SumAsciiCodes(MID(Table1[[#This Row],[USER_FORMAT]],2,LEN(Table1[[#This Row],[USER_FORMAT]])-2))</f>
        <v>222</v>
      </c>
      <c r="D47" s="1" t="s">
        <v>74</v>
      </c>
      <c r="E47" t="str">
        <f>"{"&amp;Table1[[#This Row],[Checksum For Dev]]&amp;", "&amp;Table1[[#This Row],[KeyCode for Developer]]&amp;"},"   &amp; "          // " &amp; Table1[[#This Row],[USER_FORMAT]]</f>
        <v>{222, KEY_F14},          // {F14}</v>
      </c>
    </row>
    <row r="48" spans="1:5" ht="16.5" x14ac:dyDescent="0.25">
      <c r="A48" s="6">
        <v>45</v>
      </c>
      <c r="B48" s="1" t="s">
        <v>28</v>
      </c>
      <c r="C48" s="1" cm="1">
        <f t="array" ref="C48">SumAsciiCodes(MID(Table1[[#This Row],[USER_FORMAT]],2,LEN(Table1[[#This Row],[USER_FORMAT]])-2))</f>
        <v>225</v>
      </c>
      <c r="D48" s="1" t="s">
        <v>75</v>
      </c>
      <c r="E48" t="str">
        <f>"{"&amp;Table1[[#This Row],[Checksum For Dev]]&amp;", "&amp;Table1[[#This Row],[KeyCode for Developer]]&amp;"},"   &amp; "          // " &amp; Table1[[#This Row],[USER_FORMAT]]</f>
        <v>{225, KEY_F15},          // {F15}</v>
      </c>
    </row>
    <row r="49" spans="1:5" ht="16.5" x14ac:dyDescent="0.25">
      <c r="A49" s="6">
        <v>46</v>
      </c>
      <c r="B49" s="1" t="s">
        <v>29</v>
      </c>
      <c r="C49" s="1" cm="1">
        <f t="array" ref="C49">SumAsciiCodes(MID(Table1[[#This Row],[USER_FORMAT]],2,LEN(Table1[[#This Row],[USER_FORMAT]])-2))</f>
        <v>228</v>
      </c>
      <c r="D49" s="1" t="s">
        <v>76</v>
      </c>
      <c r="E49" t="str">
        <f>"{"&amp;Table1[[#This Row],[Checksum For Dev]]&amp;", "&amp;Table1[[#This Row],[KeyCode for Developer]]&amp;"},"   &amp; "          // " &amp; Table1[[#This Row],[USER_FORMAT]]</f>
        <v>{228, KEY_F16},          // {F16}</v>
      </c>
    </row>
    <row r="50" spans="1:5" ht="16.5" x14ac:dyDescent="0.25">
      <c r="A50" s="6">
        <v>47</v>
      </c>
      <c r="B50" s="1" t="s">
        <v>34</v>
      </c>
      <c r="C50" s="1" cm="1">
        <f t="array" ref="C50">SumAsciiCodes(MID(Table1[[#This Row],[USER_FORMAT]],2,LEN(Table1[[#This Row],[USER_FORMAT]])-2))</f>
        <v>199</v>
      </c>
      <c r="D50" s="1" t="s">
        <v>49</v>
      </c>
      <c r="E50" t="str">
        <f>"{"&amp;Table1[[#This Row],[Checksum For Dev]]&amp;", "&amp;Table1[[#This Row],[KeyCode for Developer]]&amp;"},"   &amp; "          // " &amp; Table1[[#This Row],[USER_FORMAT]]</f>
        <v>{199, KEY_BACKSPACE},          // {BS}</v>
      </c>
    </row>
    <row r="51" spans="1:5" ht="16.5" x14ac:dyDescent="0.25">
      <c r="A51" s="6">
        <v>48</v>
      </c>
      <c r="B51" s="1" t="s">
        <v>32</v>
      </c>
      <c r="C51" s="1" cm="1">
        <f t="array" ref="C51">SumAsciiCodes(MID(Table1[[#This Row],[USER_FORMAT]],2,LEN(Table1[[#This Row],[USER_FORMAT]])-2))</f>
        <v>314</v>
      </c>
      <c r="D51" s="1" t="s">
        <v>55</v>
      </c>
      <c r="E51" t="str">
        <f>"{"&amp;Table1[[#This Row],[Checksum For Dev]]&amp;", "&amp;Table1[[#This Row],[KeyCode for Developer]]&amp;"},"   &amp; "          // " &amp; Table1[[#This Row],[USER_FORMAT]]</f>
        <v>{314, KEY_DELETE},          // {DEL}</v>
      </c>
    </row>
    <row r="52" spans="1:5" ht="16.5" x14ac:dyDescent="0.25">
      <c r="A52" s="6">
        <v>49</v>
      </c>
      <c r="B52" s="1" t="s">
        <v>36</v>
      </c>
      <c r="C52" s="1" cm="1">
        <f t="array" ref="C52">SumAsciiCodes(MID(Table1[[#This Row],[USER_FORMAT]],2,LEN(Table1[[#This Row],[USER_FORMAT]])-2))</f>
        <v>345</v>
      </c>
      <c r="D52" s="1" t="s">
        <v>53</v>
      </c>
      <c r="E52" t="str">
        <f>"{"&amp;Table1[[#This Row],[Checksum For Dev]]&amp;", "&amp;Table1[[#This Row],[KeyCode for Developer]]&amp;"},"   &amp; "          // " &amp; Table1[[#This Row],[USER_FORMAT]]</f>
        <v>{345, KEY_INSERT},          // {INS}</v>
      </c>
    </row>
    <row r="53" spans="1:5" ht="16.5" x14ac:dyDescent="0.25">
      <c r="A53" s="6">
        <v>50</v>
      </c>
      <c r="B53" s="1" t="s">
        <v>77</v>
      </c>
      <c r="C53" s="1" cm="1">
        <f t="array" ref="C53">SumAsciiCodes(MID(Table1[[#This Row],[USER_FORMAT]],2,LEN(Table1[[#This Row],[USER_FORMAT]])-2))</f>
        <v>123</v>
      </c>
      <c r="D53" s="3" t="s">
        <v>82</v>
      </c>
      <c r="E53" t="str">
        <f>"{"&amp;Table1[[#This Row],[Checksum For Dev]]&amp;", "&amp;Table1[[#This Row],[KeyCode for Developer]]&amp;"},"   &amp; "          // " &amp; Table1[[#This Row],[USER_FORMAT]]</f>
        <v>{123, '{'},          // {{}</v>
      </c>
    </row>
    <row r="54" spans="1:5" ht="16.5" x14ac:dyDescent="0.25">
      <c r="A54" s="6">
        <v>51</v>
      </c>
      <c r="B54" s="1" t="s">
        <v>78</v>
      </c>
      <c r="C54" s="1" cm="1">
        <f t="array" ref="C54">SumAsciiCodes(MID(Table1[[#This Row],[USER_FORMAT]],2,LEN(Table1[[#This Row],[USER_FORMAT]])-2))</f>
        <v>125</v>
      </c>
      <c r="D54" s="3" t="s">
        <v>79</v>
      </c>
      <c r="E54" t="str">
        <f>"{"&amp;Table1[[#This Row],[Checksum For Dev]]&amp;", "&amp;Table1[[#This Row],[KeyCode for Developer]]&amp;"},"   &amp; "          // " &amp; Table1[[#This Row],[USER_FORMAT]]</f>
        <v>{125, '}'},          // {}}</v>
      </c>
    </row>
  </sheetData>
  <conditionalFormatting sqref="C3:C54">
    <cfRule type="duplicateValues" dxfId="0" priority="10"/>
  </conditionalFormatting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C1CF-00AB-428E-95D7-174F5E546302}">
  <dimension ref="A2:J3"/>
  <sheetViews>
    <sheetView workbookViewId="0">
      <selection activeCell="C3" sqref="C3"/>
    </sheetView>
  </sheetViews>
  <sheetFormatPr defaultRowHeight="15" x14ac:dyDescent="0.25"/>
  <cols>
    <col min="1" max="1" width="16.140625" bestFit="1" customWidth="1"/>
    <col min="2" max="2" width="2" bestFit="1" customWidth="1"/>
  </cols>
  <sheetData>
    <row r="2" spans="1:10" x14ac:dyDescent="0.25">
      <c r="A2" t="s">
        <v>100</v>
      </c>
      <c r="B2" t="s">
        <v>102</v>
      </c>
      <c r="C2" s="8" t="s">
        <v>99</v>
      </c>
      <c r="D2" s="8"/>
      <c r="E2" s="8"/>
      <c r="F2" s="8"/>
      <c r="G2" s="8"/>
      <c r="H2" s="8"/>
      <c r="I2" s="8"/>
      <c r="J2" s="8"/>
    </row>
    <row r="3" spans="1:10" x14ac:dyDescent="0.25">
      <c r="A3" t="s">
        <v>101</v>
      </c>
      <c r="B3" t="s">
        <v>102</v>
      </c>
      <c r="C3" t="str">
        <f>SUBSTITUTE(SUBSTITUTE(CheckSumF,"477","CTRL"),"637","SHIFT")</f>
        <v>{SHIFT}{440}{~6023}{CTRL}C{~1550}{SHIFT}{284}{284}{~6023}{CTRL}V{~1550}</v>
      </c>
    </row>
  </sheetData>
  <mergeCells count="1">
    <mergeCell ref="C2:J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Checksum2CODE</vt:lpstr>
      <vt:lpstr>Revert</vt:lpstr>
      <vt:lpstr>CheckSumF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Duc Tien</dc:creator>
  <cp:lastModifiedBy>Nguyen Duc Tien</cp:lastModifiedBy>
  <dcterms:created xsi:type="dcterms:W3CDTF">2024-07-31T08:49:42Z</dcterms:created>
  <dcterms:modified xsi:type="dcterms:W3CDTF">2024-08-17T15:08:40Z</dcterms:modified>
</cp:coreProperties>
</file>